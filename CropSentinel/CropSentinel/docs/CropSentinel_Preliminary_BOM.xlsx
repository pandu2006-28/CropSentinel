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ab8779696c4b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tailed BOM" sheetId="1" r:id="R9d2af1985cfd4c41"/>
    <x:sheet xmlns:r="http://schemas.openxmlformats.org/officeDocument/2006/relationships" name="Budget Summary" sheetId="2" r:id="R0cdc1ebde06842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₹&quot;#,##0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34155"/>
      <x:name val="Carlito"/>
    </x:font>
    <x:font>
      <x:b/>
      <x:sz val="11"/>
      <x:color rgb="FFFFFFFF"/>
      <x:name val="Carlito"/>
    </x:font>
    <x:font>
      <x:b/>
      <x:sz val="11"/>
      <x:color rgb="FF14532D"/>
      <x:name val="Carlito"/>
    </x:font>
    <x:font>
      <x:i/>
      <x:sz val="11"/>
      <x:color rgb="FF7C4A03"/>
      <x:name val="Carlito"/>
    </x:font>
    <x:font>
      <x:i/>
      <x:sz val="11"/>
      <x:color rgb="FF334155"/>
      <x:name val="Carlito"/>
    </x:font>
    <x:font>
      <x:b/>
      <x:sz val="11"/>
      <x:color rgb="FF243B8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43B80"/>
      </x:patternFill>
    </x:fill>
    <x:fill>
      <x:patternFill patternType="solid">
        <x:fgColor rgb="FFEAF0FF"/>
      </x:patternFill>
    </x:fill>
    <x:fill>
      <x:patternFill patternType="solid">
        <x:fgColor rgb="FF2B3D89"/>
      </x:patternFill>
    </x:fill>
    <x:fill>
      <x:patternFill patternType="solid">
        <x:fgColor rgb="FFE6F4EA"/>
      </x:patternFill>
    </x:fill>
    <x:fill>
      <x:patternFill patternType="solid">
        <x:fgColor rgb="FFFFF7E6"/>
      </x:patternFill>
    </x:fill>
    <x:fill>
      <x:patternFill patternType="solid">
        <x:fgColor rgb="FFEAF0FF"/>
      </x:patternFill>
    </x:fill>
    <x:fill>
      <x:patternFill patternType="solid">
        <x:fgColor rgb="FFFFF7E6"/>
      </x:patternFill>
    </x:fill>
  </x:fills>
  <x:borders count="2">
    <x:border/>
    <x:border/>
  </x:borders>
  <x:cellStyleXfs count="1">
    <x:xf numFmtId="0" fontId="0" fillId="0" borderId="0"/>
  </x:cellStyleXfs>
  <x:cellXfs count="6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4" fillId="5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/>
    <x:xf numFmtId="200" fontId="4" fillId="5" borderId="1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center" wrapText="1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11e6ebc322480c" /><Relationship Type="http://schemas.openxmlformats.org/officeDocument/2006/relationships/theme" Target="/xl/theme/theme1.xml" Id="R077decc81f8b42a4" /><Relationship Type="http://schemas.openxmlformats.org/officeDocument/2006/relationships/sharedStrings" Target="/xl/sharedStrings.xml" Id="R2c83812133da4e51" /><Relationship Type="http://schemas.openxmlformats.org/officeDocument/2006/relationships/worksheet" Target="/xl/worksheets/sheet1.xml" Id="R9d2af1985cfd4c41" /><Relationship Type="http://schemas.openxmlformats.org/officeDocument/2006/relationships/worksheet" Target="/xl/worksheets/sheet2.xml" Id="R0cdc1ebde06842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35" hidden="0" customWidth="1"/>
    <x:col min="3" max="3" width="58" hidden="0" customWidth="1"/>
    <x:col min="4" max="4" width="8" hidden="0" customWidth="1"/>
    <x:col min="5" max="5" width="18" hidden="0" customWidth="1"/>
    <x:col min="6" max="6" width="18" hidden="0" customWidth="1"/>
    <x:col min="7" max="7" width="58" hidden="0" customWidth="1"/>
  </x:cols>
  <x:sheetData>
    <x:row r="1" ht="32" customHeight="1">
      <x:c r="A1" s="4" t="str">
        <x:v>CropSentinel — Locked Preliminary BOM | Budget ceiling: ₹50,000</x:v>
      </x:c>
      <x:c r="B1" s="4"/>
      <x:c r="C1" s="4"/>
      <x:c r="D1" s="4"/>
      <x:c r="E1" s="4"/>
      <x:c r="F1" s="4"/>
      <x:c r="G1" s="4"/>
    </x:row>
    <x:row r="2" ht="30" customHeight="1">
      <x:c r="A2" s="11" t="str">
        <x:v>Budgetary estimates only — verify exact specifications, current supplier prices, shipping and lead times before procurement.</x:v>
      </x:c>
      <x:c r="B2" s="11"/>
      <x:c r="C2" s="11"/>
      <x:c r="D2" s="11"/>
      <x:c r="E2" s="11"/>
      <x:c r="F2" s="11"/>
      <x:c r="G2" s="11"/>
    </x:row>
    <x:row r="4" ht="30" customHeight="1">
      <x:c r="A4" s="19" t="str">
        <x:v>Category</x:v>
      </x:c>
      <x:c r="B4" s="19" t="str">
        <x:v>Component</x:v>
      </x:c>
      <x:c r="C4" s="19" t="str">
        <x:v>Specification / purpose</x:v>
      </x:c>
      <x:c r="D4" s="19" t="str">
        <x:v>Qty</x:v>
      </x:c>
      <x:c r="E4" s="19" t="str">
        <x:v>Unit budget (INR)</x:v>
      </x:c>
      <x:c r="F4" s="19" t="str">
        <x:v>Line total (INR)</x:v>
      </x:c>
      <x:c r="G4" s="19" t="str">
        <x:v>Price / procurement note</x:v>
      </x:c>
    </x:row>
    <x:row r="5">
      <x:c r="A5" s="25" t="str">
        <x:v>Field device</x:v>
      </x:c>
      <x:c r="B5" s="25" t="str">
        <x:v>ESP32-S3 camera development board</x:v>
      </x:c>
      <x:c r="C5" s="25" t="str">
        <x:v>Camera-capable ESP32-S3 board with PSRAM and compatible camera</x:v>
      </x:c>
      <x:c r="D5" s="25" t="n">
        <x:v>1</x:v>
      </x:c>
      <x:c r="E5" s="44" t="n">
        <x:v>1800</x:v>
      </x:c>
      <x:c r="F5" s="44" t="n">
        <x:f>D5*E5</x:f>
        <x:v>1800</x:v>
      </x:c>
      <x:c r="G5" s="25" t="str">
        <x:v>Estimate; confirm exact board and inference compatibility</x:v>
      </x:c>
    </x:row>
    <x:row r="6">
      <x:c r="A6" s="25" t="str">
        <x:v>Field device</x:v>
      </x:c>
      <x:c r="B6" s="25" t="str">
        <x:v>BME280 temperature/humidity sensor</x:v>
      </x:c>
      <x:c r="C6" s="25" t="str">
        <x:v>Environmental context sensor breakout</x:v>
      </x:c>
      <x:c r="D6" s="25" t="n">
        <x:v>1</x:v>
      </x:c>
      <x:c r="E6" s="44" t="n">
        <x:v>450</x:v>
      </x:c>
      <x:c r="F6" s="44" t="n">
        <x:f>D6*E6</x:f>
        <x:v>450</x:v>
      </x:c>
      <x:c r="G6" s="25" t="str">
        <x:v>Estimate; context only, not a disease diagnosis</x:v>
      </x:c>
    </x:row>
    <x:row r="7">
      <x:c r="A7" s="25" t="str">
        <x:v>Field device</x:v>
      </x:c>
      <x:c r="B7" s="25" t="str">
        <x:v>LoRa radio module, antenna and interface</x:v>
      </x:c>
      <x:c r="C7" s="25" t="str">
        <x:v>SX1262-class compatible radio set; confirm legal band and receiver match</x:v>
      </x:c>
      <x:c r="D7" s="25" t="n">
        <x:v>1</x:v>
      </x:c>
      <x:c r="E7" s="44" t="n">
        <x:v>2500</x:v>
      </x:c>
      <x:c r="F7" s="44" t="n">
        <x:f>D7*E7</x:f>
        <x:v>2500</x:v>
      </x:c>
      <x:c r="G7" s="25" t="str">
        <x:v>Estimate; exact frequency/module to verify</x:v>
      </x:c>
    </x:row>
    <x:row r="8">
      <x:c r="A8" s="25" t="str">
        <x:v>Field device</x:v>
      </x:c>
      <x:c r="B8" s="25" t="str">
        <x:v>20 W solar panel</x:v>
      </x:c>
      <x:c r="C8" s="25" t="str">
        <x:v>Initial solar sizing assumption; validate against measured load</x:v>
      </x:c>
      <x:c r="D8" s="25" t="n">
        <x:v>1</x:v>
      </x:c>
      <x:c r="E8" s="44" t="n">
        <x:v>2200</x:v>
      </x:c>
      <x:c r="F8" s="44" t="n">
        <x:f>D8*E8</x:f>
        <x:v>2200</x:v>
      </x:c>
      <x:c r="G8" s="25" t="str">
        <x:v>Estimate; final sizing depends on power budget</x:v>
      </x:c>
    </x:row>
    <x:row r="9">
      <x:c r="A9" s="25" t="str">
        <x:v>Field device</x:v>
      </x:c>
      <x:c r="B9" s="25" t="str">
        <x:v>Rechargeable battery pack</x:v>
      </x:c>
      <x:c r="C9" s="25" t="str">
        <x:v>Battery chemistry/capacity to be selected with compatible charger</x:v>
      </x:c>
      <x:c r="D9" s="25" t="n">
        <x:v>1</x:v>
      </x:c>
      <x:c r="E9" s="44" t="n">
        <x:v>3500</x:v>
      </x:c>
      <x:c r="F9" s="44" t="n">
        <x:f>D9*E9</x:f>
        <x:v>3500</x:v>
      </x:c>
      <x:c r="G9" s="25" t="str">
        <x:v>Estimate; do not procure before chemistry is settled</x:v>
      </x:c>
    </x:row>
    <x:row r="10">
      <x:c r="A10" s="25" t="str">
        <x:v>Field device</x:v>
      </x:c>
      <x:c r="B10" s="25" t="str">
        <x:v>Solar charge controller</x:v>
      </x:c>
      <x:c r="C10" s="25" t="str">
        <x:v>Compatible with chosen battery chemistry</x:v>
      </x:c>
      <x:c r="D10" s="25" t="n">
        <x:v>1</x:v>
      </x:c>
      <x:c r="E10" s="44" t="n">
        <x:v>1800</x:v>
      </x:c>
      <x:c r="F10" s="44" t="n">
        <x:f>D10*E10</x:f>
        <x:v>1800</x:v>
      </x:c>
      <x:c r="G10" s="25" t="str">
        <x:v>Estimate; confirm panel/battery compatibility</x:v>
      </x:c>
    </x:row>
    <x:row r="11">
      <x:c r="A11" s="25" t="str">
        <x:v>Field device</x:v>
      </x:c>
      <x:c r="B11" s="25" t="str">
        <x:v>DC-DC voltage regulators</x:v>
      </x:c>
      <x:c r="C11" s="25" t="str">
        <x:v>Regulated rails for MCU/radio/sensors</x:v>
      </x:c>
      <x:c r="D11" s="25" t="n">
        <x:v>1</x:v>
      </x:c>
      <x:c r="E11" s="44" t="n">
        <x:v>900</x:v>
      </x:c>
      <x:c r="F11" s="44" t="n">
        <x:f>D11*E11</x:f>
        <x:v>900</x:v>
      </x:c>
      <x:c r="G11" s="25" t="str">
        <x:v>Estimate; account for peak radio current</x:v>
      </x:c>
    </x:row>
    <x:row r="12">
      <x:c r="A12" s="25" t="str">
        <x:v>Field device</x:v>
      </x:c>
      <x:c r="B12" s="25" t="str">
        <x:v>Battery protection, fuse and switch</x:v>
      </x:c>
      <x:c r="C12" s="25" t="str">
        <x:v>Fuse, holder, switch and suitable battery protection</x:v>
      </x:c>
      <x:c r="D12" s="25" t="n">
        <x:v>1</x:v>
      </x:c>
      <x:c r="E12" s="44" t="n">
        <x:v>1000</x:v>
      </x:c>
      <x:c r="F12" s="44" t="n">
        <x:f>D12*E12</x:f>
        <x:v>1000</x:v>
      </x:c>
      <x:c r="G12" s="25" t="str">
        <x:v>Estimate; verify safety requirements</x:v>
      </x:c>
    </x:row>
    <x:row r="13">
      <x:c r="A13" s="25" t="str">
        <x:v>Field device</x:v>
      </x:c>
      <x:c r="B13" s="25" t="str">
        <x:v>Weather-resistant enclosure and cable glands</x:v>
      </x:c>
      <x:c r="C13" s="25" t="str">
        <x:v>Enclosure, gasket, glands and basic mounting provision</x:v>
      </x:c>
      <x:c r="D13" s="25" t="n">
        <x:v>1</x:v>
      </x:c>
      <x:c r="E13" s="44" t="n">
        <x:v>2200</x:v>
      </x:c>
      <x:c r="F13" s="44" t="n">
        <x:f>D13*E13</x:f>
        <x:v>2200</x:v>
      </x:c>
      <x:c r="G13" s="25" t="str">
        <x:v>Estimate; IP rating not claimed until tested</x:v>
      </x:c>
    </x:row>
    <x:row r="14">
      <x:c r="A14" s="25" t="str">
        <x:v>Field device</x:v>
      </x:c>
      <x:c r="B14" s="25" t="str">
        <x:v>Prototype PCB, wiring and connectors</x:v>
      </x:c>
      <x:c r="C14" s="25" t="str">
        <x:v>Prototype PCB/perfboard, headers, terminals, cable and connectors</x:v>
      </x:c>
      <x:c r="D14" s="25" t="n">
        <x:v>1</x:v>
      </x:c>
      <x:c r="E14" s="44" t="n">
        <x:v>1800</x:v>
      </x:c>
      <x:c r="F14" s="44" t="n">
        <x:f>D14*E14</x:f>
        <x:v>1800</x:v>
      </x:c>
      <x:c r="G14" s="25" t="str">
        <x:v>Estimate; include strain relief</x:v>
      </x:c>
    </x:row>
    <x:row r="15">
      <x:c r="A15" s="25" t="str">
        <x:v>Farmer-side receiver</x:v>
      </x:c>
      <x:c r="B15" s="25" t="str">
        <x:v>Receiver controller and compatible LoRa radio</x:v>
      </x:c>
      <x:c r="C15" s="25" t="str">
        <x:v>Direct point-to-point LoRa receiver board</x:v>
      </x:c>
      <x:c r="D15" s="25" t="n">
        <x:v>1</x:v>
      </x:c>
      <x:c r="E15" s="44" t="n">
        <x:v>3000</x:v>
      </x:c>
      <x:c r="F15" s="44" t="n">
        <x:f>D15*E15</x:f>
        <x:v>3000</x:v>
      </x:c>
      <x:c r="G15" s="25" t="str">
        <x:v>Estimate; must match field-node radio band/protocol</x:v>
      </x:c>
    </x:row>
    <x:row r="16">
      <x:c r="A16" s="25" t="str">
        <x:v>Farmer-side receiver</x:v>
      </x:c>
      <x:c r="B16" s="25" t="str">
        <x:v>OLED/LCD display</x:v>
      </x:c>
      <x:c r="C16" s="25" t="str">
        <x:v>Show alert state and event identifier</x:v>
      </x:c>
      <x:c r="D16" s="25" t="n">
        <x:v>1</x:v>
      </x:c>
      <x:c r="E16" s="44" t="n">
        <x:v>800</x:v>
      </x:c>
      <x:c r="F16" s="44" t="n">
        <x:f>D16*E16</x:f>
        <x:v>800</x:v>
      </x:c>
      <x:c r="G16" s="25" t="str">
        <x:v>Estimate; choose after interface/size review</x:v>
      </x:c>
    </x:row>
    <x:row r="17">
      <x:c r="A17" s="25" t="str">
        <x:v>Farmer-side receiver</x:v>
      </x:c>
      <x:c r="B17" s="25" t="str">
        <x:v>Buzzer, indicator LEDs and ACK button</x:v>
      </x:c>
      <x:c r="C17" s="25" t="str">
        <x:v>Audible/visual alert and farmer acknowledgement input</x:v>
      </x:c>
      <x:c r="D17" s="25" t="n">
        <x:v>1</x:v>
      </x:c>
      <x:c r="E17" s="44" t="n">
        <x:v>600</x:v>
      </x:c>
      <x:c r="F17" s="44" t="n">
        <x:f>D17*E17</x:f>
        <x:v>600</x:v>
      </x:c>
      <x:c r="G17" s="25" t="str">
        <x:v>Estimate; ACK is not proof of plant inspection</x:v>
      </x:c>
    </x:row>
    <x:row r="18">
      <x:c r="A18" s="25" t="str">
        <x:v>Farmer-side receiver</x:v>
      </x:c>
      <x:c r="B18" s="25" t="str">
        <x:v>Receiver enclosure, power supply and cables</x:v>
      </x:c>
      <x:c r="C18" s="25" t="str">
        <x:v>Housing and safe low-voltage power</x:v>
      </x:c>
      <x:c r="D18" s="25" t="n">
        <x:v>1</x:v>
      </x:c>
      <x:c r="E18" s="44" t="n">
        <x:v>1600</x:v>
      </x:c>
      <x:c r="F18" s="44" t="n">
        <x:f>D18*E18</x:f>
        <x:v>1600</x:v>
      </x:c>
      <x:c r="G18" s="25" t="str">
        <x:v>Estimate; placement near farmer/home</x:v>
      </x:c>
    </x:row>
    <x:row r="19">
      <x:c r="A19" s="25" t="str">
        <x:v>Development accessories</x:v>
      </x:c>
      <x:c r="B19" s="25" t="str">
        <x:v>Spare/debug development board</x:v>
      </x:c>
      <x:c r="C19" s="25" t="str">
        <x:v>Second board for bring-up, debugging or replacement during development</x:v>
      </x:c>
      <x:c r="D19" s="25" t="n">
        <x:v>1</x:v>
      </x:c>
      <x:c r="E19" s="44" t="n">
        <x:v>1800</x:v>
      </x:c>
      <x:c r="F19" s="44" t="n">
        <x:f>D19*E19</x:f>
        <x:v>1800</x:v>
      </x:c>
      <x:c r="G19" s="25" t="str">
        <x:v>Estimate; not a field-performance claim</x:v>
      </x:c>
    </x:row>
    <x:row r="20">
      <x:c r="A20" s="25" t="str">
        <x:v>Development accessories</x:v>
      </x:c>
      <x:c r="B20" s="25" t="str">
        <x:v>USB cables, storage, adapters and test accessories</x:v>
      </x:c>
      <x:c r="C20" s="25" t="str">
        <x:v>Small development accessories and consumables</x:v>
      </x:c>
      <x:c r="D20" s="25" t="n">
        <x:v>1</x:v>
      </x:c>
      <x:c r="E20" s="44" t="n">
        <x:v>1200</x:v>
      </x:c>
      <x:c r="F20" s="44" t="n">
        <x:f>D20*E20</x:f>
        <x:v>1200</x:v>
      </x:c>
      <x:c r="G20" s="25" t="str">
        <x:v>Estimate</x:v>
      </x:c>
    </x:row>
    <x:row r="21">
      <x:c r="A21" s="25" t="str">
        <x:v>Testing and validation</x:v>
      </x:c>
      <x:c r="B21" s="25" t="str">
        <x:v>Multimeter or power-measurement tools</x:v>
      </x:c>
      <x:c r="C21" s="25" t="str">
        <x:v>Basic measurement tools for power and continuity checks</x:v>
      </x:c>
      <x:c r="D21" s="25" t="n">
        <x:v>1</x:v>
      </x:c>
      <x:c r="E21" s="44" t="n">
        <x:v>1800</x:v>
      </x:c>
      <x:c r="F21" s="44" t="n">
        <x:f>D21*E21</x:f>
        <x:v>1800</x:v>
      </x:c>
      <x:c r="G21" s="25" t="str">
        <x:v>Estimate; exact instrument selection to verify</x:v>
      </x:c>
    </x:row>
    <x:row r="22">
      <x:c r="A22" s="25" t="str">
        <x:v>Testing and validation</x:v>
      </x:c>
      <x:c r="B22" s="25" t="str">
        <x:v>Mounting brackets, weatherproofing and fasteners</x:v>
      </x:c>
      <x:c r="C22" s="25" t="str">
        <x:v>Prototype installation supplies</x:v>
      </x:c>
      <x:c r="D22" s="25" t="n">
        <x:v>1</x:v>
      </x:c>
      <x:c r="E22" s="44" t="n">
        <x:v>1800</x:v>
      </x:c>
      <x:c r="F22" s="44" t="n">
        <x:f>D22*E22</x:f>
        <x:v>1800</x:v>
      </x:c>
      <x:c r="G22" s="25" t="str">
        <x:v>Estimate; no environmental certification implied</x:v>
      </x:c>
    </x:row>
    <x:row r="23">
      <x:c r="A23" s="25" t="str">
        <x:v>Testing and validation</x:v>
      </x:c>
      <x:c r="B23" s="25" t="str">
        <x:v>Plant image collection, labeling and data storage allowance</x:v>
      </x:c>
      <x:c r="C23" s="25" t="str">
        <x:v>Collection/labeling materials and storage</x:v>
      </x:c>
      <x:c r="D23" s="25" t="n">
        <x:v>1</x:v>
      </x:c>
      <x:c r="E23" s="44" t="n">
        <x:v>2500</x:v>
      </x:c>
      <x:c r="F23" s="44" t="n">
        <x:f>D23*E23</x:f>
        <x:v>2500</x:v>
      </x:c>
      <x:c r="G23" s="25" t="str">
        <x:v>Planning allowance; use permitted, traceable data</x:v>
      </x:c>
    </x:row>
    <x:row r="24">
      <x:c r="A24" s="25" t="str">
        <x:v>Testing and validation</x:v>
      </x:c>
      <x:c r="B24" s="25" t="str">
        <x:v>Field-like testing and local travel allowance</x:v>
      </x:c>
      <x:c r="C24" s="25" t="str">
        <x:v>Allowance for supervised testing activities</x:v>
      </x:c>
      <x:c r="D24" s="25" t="n">
        <x:v>1</x:v>
      </x:c>
      <x:c r="E24" s="44" t="n">
        <x:v>3000</x:v>
      </x:c>
      <x:c r="F24" s="44" t="n">
        <x:f>D24*E24</x:f>
        <x:v>3000</x:v>
      </x:c>
      <x:c r="G24" s="25" t="str">
        <x:v>Planning allowance; no trials have yet been claimed</x:v>
      </x:c>
    </x:row>
    <x:row r="25">
      <x:c r="A25" s="25" t="str">
        <x:v>Replacement spares</x:v>
      </x:c>
      <x:c r="B25" s="25" t="str">
        <x:v>Replacement ESP32-S3 camera board</x:v>
      </x:c>
      <x:c r="C25" s="25" t="str">
        <x:v>One replacement candidate</x:v>
      </x:c>
      <x:c r="D25" s="25" t="n">
        <x:v>1</x:v>
      </x:c>
      <x:c r="E25" s="44" t="n">
        <x:v>1200</x:v>
      </x:c>
      <x:c r="F25" s="44" t="n">
        <x:f>D25*E25</x:f>
        <x:v>1200</x:v>
      </x:c>
      <x:c r="G25" s="25" t="str">
        <x:v>Reserve estimate; buy only if needed</x:v>
      </x:c>
    </x:row>
    <x:row r="26">
      <x:c r="A26" s="25" t="str">
        <x:v>Replacement spares</x:v>
      </x:c>
      <x:c r="B26" s="25" t="str">
        <x:v>Replacement BME280 sensor</x:v>
      </x:c>
      <x:c r="C26" s="25" t="str">
        <x:v>One replacement sensor</x:v>
      </x:c>
      <x:c r="D26" s="25" t="n">
        <x:v>1</x:v>
      </x:c>
      <x:c r="E26" s="44" t="n">
        <x:v>450</x:v>
      </x:c>
      <x:c r="F26" s="44" t="n">
        <x:f>D26*E26</x:f>
        <x:v>450</x:v>
      </x:c>
      <x:c r="G26" s="25" t="str">
        <x:v>Reserve estimate; buy only if needed</x:v>
      </x:c>
    </x:row>
    <x:row r="27">
      <x:c r="A27" s="25" t="str">
        <x:v>Replacement spares</x:v>
      </x:c>
      <x:c r="B27" s="25" t="str">
        <x:v>Replacement LoRa module/antenna</x:v>
      </x:c>
      <x:c r="C27" s="25" t="str">
        <x:v>One replacement radio set</x:v>
      </x:c>
      <x:c r="D27" s="25" t="n">
        <x:v>1</x:v>
      </x:c>
      <x:c r="E27" s="44" t="n">
        <x:v>1800</x:v>
      </x:c>
      <x:c r="F27" s="44" t="n">
        <x:f>D27*E27</x:f>
        <x:v>1800</x:v>
      </x:c>
      <x:c r="G27" s="25" t="str">
        <x:v>Reserve estimate; match chosen radio and band</x:v>
      </x:c>
    </x:row>
    <x:row r="28">
      <x:c r="A28" s="25" t="str">
        <x:v>Replacement spares</x:v>
      </x:c>
      <x:c r="B28" s="25" t="str">
        <x:v>Spare regulators, wires and connectors</x:v>
      </x:c>
      <x:c r="C28" s="25" t="str">
        <x:v>Common small replacement parts</x:v>
      </x:c>
      <x:c r="D28" s="25" t="n">
        <x:v>1</x:v>
      </x:c>
      <x:c r="E28" s="44" t="n">
        <x:v>1550</x:v>
      </x:c>
      <x:c r="F28" s="44" t="n">
        <x:f>D28*E28</x:f>
        <x:v>1550</x:v>
      </x:c>
      <x:c r="G28" s="25" t="str">
        <x:v>Reserve estimate; buy as needed</x:v>
      </x:c>
    </x:row>
    <x:row r="29">
      <x:c r="A29" s="25" t="str">
        <x:v>Demo and documentation</x:v>
      </x:c>
      <x:c r="B29" s="25" t="str">
        <x:v>Demo setup, labels and documentation materials</x:v>
      </x:c>
      <x:c r="C29" s="25" t="str">
        <x:v>Display labels, cable management and presentation supplies</x:v>
      </x:c>
      <x:c r="D29" s="25" t="n">
        <x:v>1</x:v>
      </x:c>
      <x:c r="E29" s="44" t="n">
        <x:v>1250</x:v>
      </x:c>
      <x:c r="F29" s="44" t="n">
        <x:f>D29*E29</x:f>
        <x:v>1250</x:v>
      </x:c>
      <x:c r="G29" s="25" t="str">
        <x:v>Planning allowance; optional if budget must be reduced</x:v>
      </x:c>
    </x:row>
    <x:row r="30">
      <x:c r="A30" s="25" t="str">
        <x:v>Logistics allowance</x:v>
      </x:c>
      <x:c r="B30" s="25" t="str">
        <x:v>Shipping, taxes and delivery allowance</x:v>
      </x:c>
      <x:c r="C30" s="25" t="str">
        <x:v>Provisional allowance across purchases; replace with checkout totals</x:v>
      </x:c>
      <x:c r="D30" s="25" t="n">
        <x:v>1</x:v>
      </x:c>
      <x:c r="E30" s="44" t="n">
        <x:v>4000</x:v>
      </x:c>
      <x:c r="F30" s="44" t="n">
        <x:f>D30*E30</x:f>
        <x:v>4000</x:v>
      </x:c>
      <x:c r="G30" s="25" t="str">
        <x:v>Allowance only; not a vendor quote</x:v>
      </x:c>
    </x:row>
    <x:row r="31">
      <x:c r="A31" s="25" t="str">
        <x:v>Emergency contingency</x:v>
      </x:c>
      <x:c r="B31" s="25" t="str">
        <x:v>Unallocated reserve for damage or unexpected expenses</x:v>
      </x:c>
      <x:c r="C31" s="25" t="str">
        <x:v>Keep unspent unless required for repairs or unexpected project costs</x:v>
      </x:c>
      <x:c r="D31" s="25" t="n">
        <x:v>1</x:v>
      </x:c>
      <x:c r="E31" s="44" t="n">
        <x:v>3500</x:v>
      </x:c>
      <x:c r="F31" s="44" t="n">
        <x:f>D31*E31</x:f>
        <x:v>3500</x:v>
      </x:c>
      <x:c r="G31" s="25" t="str">
        <x:v>Reserve; not an item to purchase</x:v>
      </x:c>
    </x:row>
    <x:row r="32">
      <x:c r="E32" s="45"/>
      <x:c r="F32" s="45"/>
    </x:row>
    <x:row r="33" ht="34" customHeight="1">
      <x:c r="A33" s="31" t="str">
        <x:v>TOTAL PLANNED BUDGET (includes replacement reserve and emergency contingency)</x:v>
      </x:c>
      <x:c r="B33" s="31"/>
      <x:c r="C33" s="31"/>
      <x:c r="D33" s="31"/>
      <x:c r="E33" s="46"/>
      <x:c r="F33" s="46" t="n">
        <x:f>SUM(F5:F31)</x:f>
        <x:v>50000</x:v>
      </x:c>
      <x:c r="G33" s="31" t="str">
        <x:v>Target locked at ₹50,000</x:v>
      </x:c>
    </x:row>
    <x:row r="35" ht="32" customHeight="1">
      <x:c r="A35" s="39" t="str">
        <x:v>Note: these are planning estimates, not invented supplier quotes. The logistics line is an allowance, and contingency is held back unless needed.</x:v>
      </x:c>
      <x:c r="B35" s="39"/>
      <x:c r="C35" s="39"/>
      <x:c r="D35" s="39"/>
      <x:c r="E35" s="39"/>
      <x:c r="F35" s="39"/>
      <x:c r="G35" s="39"/>
    </x:row>
    <x:row r="37" ht="30" customHeight="1">
      <x:c r="A37" s="60" t="str">
        <x:v>GitHub repository (URL supplied by team): https://github.com/pandu2006-28/CropSentinel</x:v>
      </x:c>
      <x:c r="B37" s="60"/>
      <x:c r="C37" s="60"/>
      <x:c r="D37" s="60"/>
      <x:c r="E37" s="60"/>
      <x:c r="F37" s="60"/>
      <x:c r="G37" s="60"/>
    </x:row>
    <x:row r="38" ht="34" customHeight="1">
      <x:c r="A38" s="64" t="str">
        <x:v>Repository content and commit history have not been independently reviewed; verify before using it as evidence of implemented features or completed tests.</x:v>
      </x:c>
      <x:c r="B38" s="64"/>
      <x:c r="C38" s="64"/>
      <x:c r="D38" s="64"/>
      <x:c r="E38" s="64"/>
      <x:c r="F38" s="64"/>
      <x:c r="G38" s="64"/>
    </x:row>
  </x:sheetData>
  <x:mergeCells>
    <x:mergeCell ref="A1:G1"/>
    <x:mergeCell ref="A2:G2"/>
    <x:mergeCell ref="A33:E33"/>
    <x:mergeCell ref="A35:G35"/>
    <x:mergeCell ref="A37:G37"/>
    <x:mergeCell ref="A38:G3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22" hidden="0" customWidth="1"/>
    <x:col min="3" max="3" width="78" hidden="0" customWidth="1"/>
  </x:cols>
  <x:sheetData>
    <x:row r="1" ht="32" customHeight="1">
      <x:c r="A1" s="4" t="str">
        <x:v>CropSentinel — Budget Summary</x:v>
      </x:c>
      <x:c r="B1" s="4"/>
      <x:c r="C1" s="4"/>
    </x:row>
    <x:row r="2" ht="28" customHeight="1">
      <x:c r="A2" s="52" t="str">
        <x:v>Locked planning target: ₹50,000 | Includes spare-part and emergency reserves</x:v>
      </x:c>
      <x:c r="B2" s="52"/>
      <x:c r="C2" s="52"/>
    </x:row>
    <x:row r="4" ht="28" customHeight="1">
      <x:c r="A4" s="19" t="str">
        <x:v>Budget category</x:v>
      </x:c>
      <x:c r="B4" s="19" t="str">
        <x:v>Planned amount (INR)</x:v>
      </x:c>
      <x:c r="C4" s="19" t="str">
        <x:v>Notes</x:v>
      </x:c>
    </x:row>
    <x:row r="5">
      <x:c r="A5" s="25" t="str">
        <x:v>Field device</x:v>
      </x:c>
      <x:c r="B5" s="44" t="n">
        <x:f>SUM('Detailed BOM'!F5:F14)</x:f>
        <x:v>18150</x:v>
      </x:c>
      <x:c r="C5" s="25" t="str">
        <x:v>Camera node, environmental sensor, LoRa, power, enclosure and wiring</x:v>
      </x:c>
    </x:row>
    <x:row r="6">
      <x:c r="A6" s="25" t="str">
        <x:v>Farmer-side receiver</x:v>
      </x:c>
      <x:c r="B6" s="44" t="n">
        <x:f>SUM('Detailed BOM'!F15:F18)</x:f>
        <x:v>6000</x:v>
      </x:c>
      <x:c r="C6" s="25" t="str">
        <x:v>Compatible LoRa receiver, display, alert output, ACK control and housing</x:v>
      </x:c>
    </x:row>
    <x:row r="7">
      <x:c r="A7" s="25" t="str">
        <x:v>Development accessories</x:v>
      </x:c>
      <x:c r="B7" s="44" t="n">
        <x:f>SUM('Detailed BOM'!F19:F20)</x:f>
        <x:v>3000</x:v>
      </x:c>
      <x:c r="C7" s="25" t="str">
        <x:v>Spare/debug board and accessories</x:v>
      </x:c>
    </x:row>
    <x:row r="8">
      <x:c r="A8" s="25" t="str">
        <x:v>Testing and validation</x:v>
      </x:c>
      <x:c r="B8" s="44" t="n">
        <x:f>SUM('Detailed BOM'!F21:F24)</x:f>
        <x:v>9100</x:v>
      </x:c>
      <x:c r="C8" s="25" t="str">
        <x:v>Measurement tools, mounting, image-data and supervised test allowance</x:v>
      </x:c>
    </x:row>
    <x:row r="9">
      <x:c r="A9" s="25" t="str">
        <x:v>Replacement spares</x:v>
      </x:c>
      <x:c r="B9" s="44" t="n">
        <x:f>SUM('Detailed BOM'!F25:F28)</x:f>
        <x:v>5000</x:v>
      </x:c>
      <x:c r="C9" s="25" t="str">
        <x:v>Budget reserve for likely component damage</x:v>
      </x:c>
    </x:row>
    <x:row r="10">
      <x:c r="A10" s="25" t="str">
        <x:v>Demo and documentation</x:v>
      </x:c>
      <x:c r="B10" s="44" t="n">
        <x:f>SUM('Detailed BOM'!F29:F29)</x:f>
        <x:v>1250</x:v>
      </x:c>
      <x:c r="C10" s="25" t="str">
        <x:v>Demo materials</x:v>
      </x:c>
    </x:row>
    <x:row r="11">
      <x:c r="A11" s="25" t="str">
        <x:v>Logistics allowance</x:v>
      </x:c>
      <x:c r="B11" s="44" t="n">
        <x:f>SUM('Detailed BOM'!F30:F30)</x:f>
        <x:v>4000</x:v>
      </x:c>
      <x:c r="C11" s="25" t="str">
        <x:v>Provisional delivery/tax allowance, not a supplier quote</x:v>
      </x:c>
    </x:row>
    <x:row r="12">
      <x:c r="A12" s="25" t="str">
        <x:v>Emergency contingency</x:v>
      </x:c>
      <x:c r="B12" s="44" t="n">
        <x:f>SUM('Detailed BOM'!F31:F31)</x:f>
        <x:v>3500</x:v>
      </x:c>
      <x:c r="C12" s="25" t="str">
        <x:v>Unallocated reserve; spend only if necessary</x:v>
      </x:c>
    </x:row>
    <x:row r="13">
      <x:c r="B13" s="45"/>
    </x:row>
    <x:row r="14" ht="38" customHeight="1">
      <x:c r="A14" s="31" t="str">
        <x:v>TOTAL</x:v>
      </x:c>
      <x:c r="B14" s="46" t="n">
        <x:f>SUM(B5:B12)</x:f>
        <x:v>50000</x:v>
      </x:c>
      <x:c r="C14" s="31" t="str">
        <x:v>Target total must remain ₹50,000 after supplier verification; reallocate rather than fabricate pricing.</x:v>
      </x:c>
    </x:row>
    <x:row r="16" ht="32" customHeight="1">
      <x:c r="A16" s="39" t="str">
        <x:v>All component values are estimates/allowances. Add dated vendor URLs, stock status and lead times once verified.</x:v>
      </x:c>
      <x:c r="B16" s="39"/>
      <x:c r="C16" s="39"/>
    </x:row>
    <x:row r="18" ht="32" customHeight="1">
      <x:c r="A18" s="60" t="str">
        <x:v>GitHub repository</x:v>
      </x:c>
      <x:c r="B18" s="60" t="str">
        <x:v>https://github.com/pandu2006-28/CropSentinel</x:v>
      </x:c>
      <x:c r="C18" s="60"/>
    </x:row>
    <x:row r="19" ht="38" customHeight="1">
      <x:c r="A19" s="64" t="str">
        <x:v>Repository URL supplied by the team. Review README, code structure, commit history and evidence files before describing the repository as implementation evidence.</x:v>
      </x:c>
      <x:c r="B19" s="64"/>
      <x:c r="C19" s="64"/>
    </x:row>
  </x:sheetData>
  <x:mergeCells>
    <x:mergeCell ref="A1:C1"/>
    <x:mergeCell ref="A2:C2"/>
    <x:mergeCell ref="A16:C16"/>
    <x:mergeCell ref="B18:C18"/>
    <x:mergeCell ref="A19:C19"/>
  </x:mergeCells>
  <x:pageMargins left="0.7" right="0.7" top="0.75" bottom="0.75" header="0.3" footer="0.3"/>
</x:worksheet>
</file>